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Sakshi\OneDrive\Desktop\"/>
    </mc:Choice>
  </mc:AlternateContent>
  <xr:revisionPtr revIDLastSave="0" documentId="13_ncr:1_{AA77CCEF-B8C8-4B9F-B0BE-0A1351C6D1B0}" xr6:coauthVersionLast="47" xr6:coauthVersionMax="47" xr10:uidLastSave="{00000000-0000-0000-0000-000000000000}"/>
  <bookViews>
    <workbookView xWindow="-108" yWindow="-108" windowWidth="23256" windowHeight="12576" activeTab="3" xr2:uid="{00000000-000D-0000-FFFF-FFFF00000000}"/>
  </bookViews>
  <sheets>
    <sheet name="Bike_Buyers" sheetId="4" r:id="rId1"/>
    <sheet name="Working_Sheet" sheetId="1" r:id="rId2"/>
    <sheet name="Pivot_Table" sheetId="5" r:id="rId3"/>
    <sheet name="Dashboard" sheetId="2" r:id="rId4"/>
  </sheets>
  <definedNames>
    <definedName name="_xlnm._FilterDatabase" localSheetId="1" hidden="1">Working_Sheet!$A$1:$N$1001</definedName>
    <definedName name="Slicer_Education">#N/A</definedName>
    <definedName name="Slicer_Marital_Status">#N/A</definedName>
    <definedName name="Slicer_Region">#N/A</definedName>
  </definedNames>
  <calcPr calcId="191029"/>
  <pivotCaches>
    <pivotCache cacheId="2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<sst xmlns="http://schemas.openxmlformats.org/spreadsheetml/2006/main" count="16277" uniqueCount="51">
  <si>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</si>
  <si>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</si>
  <si>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</si>
  <si>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</si>
  <si>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</si>
  <si>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</si>
  <si>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</si>
  <si>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</si>
  <si>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</si>
  <si>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</si>
  <si>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</si>
  <si>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</si>
  <si>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</si>
  <si>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</si>
  <si>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</si>
  <si>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</si>
  <si>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</si>
  <si>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</si>
  <si>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</si>
  <si>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</si>
  <si>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</si>
  <si>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</si>
  <si>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</si>
  <si>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</si>
  <si>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</si>
  <si>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</si>
  <si>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</si>
  <si>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</si>
  <si>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</si>
  <si>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</si>
  <si>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</si>
  <si>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</si>
  <si>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</si>
  <si>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</si>
  <si>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</si>
  <si>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</si>
  <si>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</si>
  <si>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</si>
  <si>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</si>
  <si>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</si>
  <si>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</si>
  <si>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</si>
  <si>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</si>
  <si>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</si>
  <si>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</si>
  <si>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Middle Age</t>
  </si>
  <si>
    <t>Adolescent</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</si>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</sst>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0" fillId="0" borderId="0" xfId="0" applyAlignment="1">
      <alignment vertical="center"/>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_(* #,##0_);_(* \(#,##0\);_(* "-"??_);_(@_)</c:formatCode>
                <c:ptCount val="2"/>
                <c:pt idx="0">
                  <c:v>53440</c:v>
                </c:pt>
                <c:pt idx="1">
                  <c:v>56208.178438661707</c:v>
                </c:pt>
              </c:numCache>
            </c:numRef>
          </c:val>
          <c:extLst>
            <c:ext xmlns:c16="http://schemas.microsoft.com/office/drawing/2014/chart" uri="{C3380CC4-5D6E-409C-BE32-E72D297353CC}">
              <c16:uniqueId val="{00000000-E777-489F-BF23-97A70214658E}"/>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E777-489F-BF23-97A70214658E}"/>
            </c:ext>
          </c:extLst>
        </c:ser>
        <c:dLbls>
          <c:showLegendKey val="0"/>
          <c:showVal val="0"/>
          <c:showCatName val="0"/>
          <c:showSerName val="0"/>
          <c:showPercent val="0"/>
          <c:showBubbleSize val="0"/>
        </c:dLbls>
        <c:gapWidth val="219"/>
        <c:overlap val="-27"/>
        <c:axId val="1409458656"/>
        <c:axId val="1409459136"/>
      </c:barChart>
      <c:catAx>
        <c:axId val="1409458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59136"/>
        <c:crosses val="autoZero"/>
        <c:auto val="1"/>
        <c:lblAlgn val="ctr"/>
        <c:lblOffset val="100"/>
        <c:noMultiLvlLbl val="0"/>
      </c:catAx>
      <c:valAx>
        <c:axId val="140945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58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Pivot_Table!$B$24:$B$25</c:f>
              <c:strCache>
                <c:ptCount val="1"/>
                <c:pt idx="0">
                  <c:v>No</c:v>
                </c:pt>
              </c:strCache>
            </c:strRef>
          </c:tx>
          <c:spPr>
            <a:ln w="28575" cap="rnd">
              <a:solidFill>
                <a:schemeClr val="accent1"/>
              </a:solidFill>
              <a:round/>
            </a:ln>
            <a:effectLst/>
          </c:spPr>
          <c:marker>
            <c:symbol val="none"/>
          </c:marker>
          <c:cat>
            <c:strRef>
              <c:f>Pivot_Table!$A$26:$A$31</c:f>
              <c:strCache>
                <c:ptCount val="5"/>
                <c:pt idx="0">
                  <c:v>0-1 Miles</c:v>
                </c:pt>
                <c:pt idx="1">
                  <c:v>1-2 Miles</c:v>
                </c:pt>
                <c:pt idx="2">
                  <c:v>2-5 Miles</c:v>
                </c:pt>
                <c:pt idx="3">
                  <c:v>5-10 Miles</c:v>
                </c:pt>
                <c:pt idx="4">
                  <c:v>More than 10 Miles</c:v>
                </c:pt>
              </c:strCache>
            </c:strRef>
          </c:cat>
          <c:val>
            <c:numRef>
              <c:f>Pivot_Table!$B$26:$B$31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E06-4C46-A13D-4432CECA0EC0}"/>
            </c:ext>
          </c:extLst>
        </c:ser>
        <c:ser>
          <c:idx val="1"/>
          <c:order val="1"/>
          <c:tx>
            <c:strRef>
              <c:f>Pivot_Table!$C$24:$C$25</c:f>
              <c:strCache>
                <c:ptCount val="1"/>
                <c:pt idx="0">
                  <c:v>Yes</c:v>
                </c:pt>
              </c:strCache>
            </c:strRef>
          </c:tx>
          <c:spPr>
            <a:ln w="28575" cap="rnd">
              <a:solidFill>
                <a:schemeClr val="accent2"/>
              </a:solidFill>
              <a:round/>
            </a:ln>
            <a:effectLst/>
          </c:spPr>
          <c:marker>
            <c:symbol val="none"/>
          </c:marker>
          <c:cat>
            <c:strRef>
              <c:f>Pivot_Table!$A$26:$A$31</c:f>
              <c:strCache>
                <c:ptCount val="5"/>
                <c:pt idx="0">
                  <c:v>0-1 Miles</c:v>
                </c:pt>
                <c:pt idx="1">
                  <c:v>1-2 Miles</c:v>
                </c:pt>
                <c:pt idx="2">
                  <c:v>2-5 Miles</c:v>
                </c:pt>
                <c:pt idx="3">
                  <c:v>5-10 Miles</c:v>
                </c:pt>
                <c:pt idx="4">
                  <c:v>More than 10 Miles</c:v>
                </c:pt>
              </c:strCache>
            </c:strRef>
          </c:cat>
          <c:val>
            <c:numRef>
              <c:f>Pivot_Table!$C$26:$C$31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E06-4C46-A13D-4432CECA0EC0}"/>
            </c:ext>
          </c:extLst>
        </c:ser>
        <c:dLbls>
          <c:showLegendKey val="0"/>
          <c:showVal val="0"/>
          <c:showCatName val="0"/>
          <c:showSerName val="0"/>
          <c:showPercent val="0"/>
          <c:showBubbleSize val="0"/>
        </c:dLbls>
        <c:smooth val="0"/>
        <c:axId val="1399941696"/>
        <c:axId val="1399939776"/>
      </c:lineChart>
      <c:catAx>
        <c:axId val="139994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39776"/>
        <c:crosses val="autoZero"/>
        <c:auto val="1"/>
        <c:lblAlgn val="ctr"/>
        <c:lblOffset val="100"/>
        <c:noMultiLvlLbl val="0"/>
      </c:catAx>
      <c:valAx>
        <c:axId val="139993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4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Pivot_Table!$A$44:$A$47</c:f>
              <c:strCache>
                <c:ptCount val="3"/>
                <c:pt idx="0">
                  <c:v>Adolescent</c:v>
                </c:pt>
                <c:pt idx="1">
                  <c:v>Middle Age</c:v>
                </c:pt>
                <c:pt idx="2">
                  <c:v>Old</c:v>
                </c:pt>
              </c:strCache>
            </c:strRef>
          </c:cat>
          <c:val>
            <c:numRef>
              <c:f>Pivot_Table!$B$44:$B$47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ABA-4DE8-A3D6-FE407CED1E10}"/>
            </c:ext>
          </c:extLst>
        </c:ser>
        <c:ser>
          <c:idx val="1"/>
          <c:order val="1"/>
          <c:tx>
            <c:strRef>
              <c:f>Pivot_Table!$C$42:$C$43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Pivot_Table!$A$44:$A$47</c:f>
              <c:strCache>
                <c:ptCount val="3"/>
                <c:pt idx="0">
                  <c:v>Adolescent</c:v>
                </c:pt>
                <c:pt idx="1">
                  <c:v>Middle Age</c:v>
                </c:pt>
                <c:pt idx="2">
                  <c:v>Old</c:v>
                </c:pt>
              </c:strCache>
            </c:strRef>
          </c:cat>
          <c:val>
            <c:numRef>
              <c:f>Pivot_Table!$C$44:$C$47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ABA-4DE8-A3D6-FE407CED1E10}"/>
            </c:ext>
          </c:extLst>
        </c:ser>
        <c:dLbls>
          <c:showLegendKey val="0"/>
          <c:showVal val="0"/>
          <c:showCatName val="0"/>
          <c:showSerName val="0"/>
          <c:showPercent val="0"/>
          <c:showBubbleSize val="0"/>
        </c:dLbls>
        <c:marker val="1"/>
        <c:smooth val="0"/>
        <c:axId val="1859501088"/>
        <c:axId val="1859492928"/>
      </c:lineChart>
      <c:catAx>
        <c:axId val="185950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92928"/>
        <c:crosses val="autoZero"/>
        <c:auto val="1"/>
        <c:lblAlgn val="ctr"/>
        <c:lblOffset val="100"/>
        <c:noMultiLvlLbl val="0"/>
      </c:catAx>
      <c:valAx>
        <c:axId val="185949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50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_(* #,##0_);_(* \(#,##0\);_(* "-"??_);_(@_)</c:formatCode>
                <c:ptCount val="2"/>
                <c:pt idx="0">
                  <c:v>53440</c:v>
                </c:pt>
                <c:pt idx="1">
                  <c:v>56208.178438661707</c:v>
                </c:pt>
              </c:numCache>
            </c:numRef>
          </c:val>
          <c:extLst>
            <c:ext xmlns:c16="http://schemas.microsoft.com/office/drawing/2014/chart" uri="{C3380CC4-5D6E-409C-BE32-E72D297353CC}">
              <c16:uniqueId val="{00000000-609F-433B-B931-6B8D6CFD7A66}"/>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09F-433B-B931-6B8D6CFD7A66}"/>
            </c:ext>
          </c:extLst>
        </c:ser>
        <c:dLbls>
          <c:showLegendKey val="0"/>
          <c:showVal val="0"/>
          <c:showCatName val="0"/>
          <c:showSerName val="0"/>
          <c:showPercent val="0"/>
          <c:showBubbleSize val="0"/>
        </c:dLbls>
        <c:gapWidth val="219"/>
        <c:overlap val="-27"/>
        <c:axId val="1409458656"/>
        <c:axId val="1409459136"/>
      </c:barChart>
      <c:catAx>
        <c:axId val="1409458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59136"/>
        <c:crosses val="autoZero"/>
        <c:auto val="1"/>
        <c:lblAlgn val="ctr"/>
        <c:lblOffset val="100"/>
        <c:noMultiLvlLbl val="0"/>
      </c:catAx>
      <c:valAx>
        <c:axId val="1409459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4586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Pivot_Table!$B$24:$B$25</c:f>
              <c:strCache>
                <c:ptCount val="1"/>
                <c:pt idx="0">
                  <c:v>No</c:v>
                </c:pt>
              </c:strCache>
            </c:strRef>
          </c:tx>
          <c:spPr>
            <a:ln w="28575" cap="rnd">
              <a:solidFill>
                <a:schemeClr val="accent1"/>
              </a:solidFill>
              <a:round/>
            </a:ln>
            <a:effectLst/>
          </c:spPr>
          <c:marker>
            <c:symbol val="none"/>
          </c:marker>
          <c:cat>
            <c:strRef>
              <c:f>Pivot_Table!$A$26:$A$31</c:f>
              <c:strCache>
                <c:ptCount val="5"/>
                <c:pt idx="0">
                  <c:v>0-1 Miles</c:v>
                </c:pt>
                <c:pt idx="1">
                  <c:v>1-2 Miles</c:v>
                </c:pt>
                <c:pt idx="2">
                  <c:v>2-5 Miles</c:v>
                </c:pt>
                <c:pt idx="3">
                  <c:v>5-10 Miles</c:v>
                </c:pt>
                <c:pt idx="4">
                  <c:v>More than 10 Miles</c:v>
                </c:pt>
              </c:strCache>
            </c:strRef>
          </c:cat>
          <c:val>
            <c:numRef>
              <c:f>Pivot_Table!$B$26:$B$31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BEA-4AD3-9583-3B96A5701EA1}"/>
            </c:ext>
          </c:extLst>
        </c:ser>
        <c:ser>
          <c:idx val="1"/>
          <c:order val="1"/>
          <c:tx>
            <c:strRef>
              <c:f>Pivot_Table!$C$24:$C$25</c:f>
              <c:strCache>
                <c:ptCount val="1"/>
                <c:pt idx="0">
                  <c:v>Yes</c:v>
                </c:pt>
              </c:strCache>
            </c:strRef>
          </c:tx>
          <c:spPr>
            <a:ln w="28575" cap="rnd">
              <a:solidFill>
                <a:schemeClr val="accent2"/>
              </a:solidFill>
              <a:round/>
            </a:ln>
            <a:effectLst/>
          </c:spPr>
          <c:marker>
            <c:symbol val="none"/>
          </c:marker>
          <c:cat>
            <c:strRef>
              <c:f>Pivot_Table!$A$26:$A$31</c:f>
              <c:strCache>
                <c:ptCount val="5"/>
                <c:pt idx="0">
                  <c:v>0-1 Miles</c:v>
                </c:pt>
                <c:pt idx="1">
                  <c:v>1-2 Miles</c:v>
                </c:pt>
                <c:pt idx="2">
                  <c:v>2-5 Miles</c:v>
                </c:pt>
                <c:pt idx="3">
                  <c:v>5-10 Miles</c:v>
                </c:pt>
                <c:pt idx="4">
                  <c:v>More than 10 Miles</c:v>
                </c:pt>
              </c:strCache>
            </c:strRef>
          </c:cat>
          <c:val>
            <c:numRef>
              <c:f>Pivot_Table!$C$26:$C$31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BEA-4AD3-9583-3B96A5701EA1}"/>
            </c:ext>
          </c:extLst>
        </c:ser>
        <c:dLbls>
          <c:showLegendKey val="0"/>
          <c:showVal val="0"/>
          <c:showCatName val="0"/>
          <c:showSerName val="0"/>
          <c:showPercent val="0"/>
          <c:showBubbleSize val="0"/>
        </c:dLbls>
        <c:smooth val="0"/>
        <c:axId val="1399941696"/>
        <c:axId val="1399939776"/>
      </c:lineChart>
      <c:catAx>
        <c:axId val="1399941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39776"/>
        <c:crosses val="autoZero"/>
        <c:auto val="1"/>
        <c:lblAlgn val="ctr"/>
        <c:lblOffset val="100"/>
        <c:noMultiLvlLbl val="0"/>
      </c:catAx>
      <c:valAx>
        <c:axId val="139993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4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Pivot_Table!$A$44:$A$47</c:f>
              <c:strCache>
                <c:ptCount val="3"/>
                <c:pt idx="0">
                  <c:v>Adolescent</c:v>
                </c:pt>
                <c:pt idx="1">
                  <c:v>Middle Age</c:v>
                </c:pt>
                <c:pt idx="2">
                  <c:v>Old</c:v>
                </c:pt>
              </c:strCache>
            </c:strRef>
          </c:cat>
          <c:val>
            <c:numRef>
              <c:f>Pivot_Table!$B$44:$B$47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7D4-4BB6-8B43-F8A313222398}"/>
            </c:ext>
          </c:extLst>
        </c:ser>
        <c:ser>
          <c:idx val="1"/>
          <c:order val="1"/>
          <c:tx>
            <c:strRef>
              <c:f>Pivot_Table!$C$42:$C$43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Pivot_Table!$A$44:$A$47</c:f>
              <c:strCache>
                <c:ptCount val="3"/>
                <c:pt idx="0">
                  <c:v>Adolescent</c:v>
                </c:pt>
                <c:pt idx="1">
                  <c:v>Middle Age</c:v>
                </c:pt>
                <c:pt idx="2">
                  <c:v>Old</c:v>
                </c:pt>
              </c:strCache>
            </c:strRef>
          </c:cat>
          <c:val>
            <c:numRef>
              <c:f>Pivot_Table!$C$44:$C$47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7D4-4BB6-8B43-F8A313222398}"/>
            </c:ext>
          </c:extLst>
        </c:ser>
        <c:dLbls>
          <c:showLegendKey val="0"/>
          <c:showVal val="0"/>
          <c:showCatName val="0"/>
          <c:showSerName val="0"/>
          <c:showPercent val="0"/>
          <c:showBubbleSize val="0"/>
        </c:dLbls>
        <c:marker val="1"/>
        <c:smooth val="0"/>
        <c:axId val="1859501088"/>
        <c:axId val="1859492928"/>
      </c:lineChart>
      <c:catAx>
        <c:axId val="1859501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492928"/>
        <c:crosses val="autoZero"/>
        <c:auto val="1"/>
        <c:lblAlgn val="ctr"/>
        <c:lblOffset val="100"/>
        <c:noMultiLvlLbl val="0"/>
      </c:catAx>
      <c:valAx>
        <c:axId val="185949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50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590550</xdr:colOff>
      <xdr:row>1</xdr:row>
      <xdr:rowOff>160020</xdr:rowOff>
    </xdr:from>
    <xdr:to>
      <xdr:col>12</xdr:col>
      <xdr:colOff>285750</xdr:colOff>
      <xdr:row>16</xdr:row>
      <xdr:rowOff>160020</xdr:rowOff>
    </xdr:to>
    <xdr:graphicFrame macro="">
      <xdr:nvGraphicFramePr>
        <xdr:cNvPr id="2" name="Chart 1">
          <a:extLst>
            <a:ext uri="{FF2B5EF4-FFF2-40B4-BE49-F238E27FC236}">
              <a16:creationId xmlns:a16="http://schemas.microsoft.com/office/drawing/2014/main" id="{917A53F1-825A-88C7-D5F0-B1EAA99E5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605790</xdr:colOff>
      <xdr:row>23</xdr:row>
      <xdr:rowOff>0</xdr:rowOff>
    </xdr:from>
    <xdr:to>
      <xdr:col>13</xdr:col>
      <xdr:colOff>0</xdr:colOff>
      <xdr:row>35</xdr:row>
      <xdr:rowOff>7620</xdr:rowOff>
    </xdr:to>
    <xdr:graphicFrame macro="">
      <xdr:nvGraphicFramePr>
        <xdr:cNvPr id="3" name="Chart 2">
          <a:extLst>
            <a:ext uri="{FF2B5EF4-FFF2-40B4-BE49-F238E27FC236}">
              <a16:creationId xmlns:a16="http://schemas.microsoft.com/office/drawing/2014/main" id="{B04072B0-D9A6-A5A4-C4D3-8404C2DDB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571500</xdr:colOff>
      <xdr:row>37</xdr:row>
      <xdr:rowOff>121920</xdr:rowOff>
    </xdr:from>
    <xdr:to>
      <xdr:col>12</xdr:col>
      <xdr:colOff>266700</xdr:colOff>
      <xdr:row>52</xdr:row>
      <xdr:rowOff>121920</xdr:rowOff>
    </xdr:to>
    <xdr:graphicFrame macro="">
      <xdr:nvGraphicFramePr>
        <xdr:cNvPr id="4" name="Chart 3">
          <a:extLst>
            <a:ext uri="{FF2B5EF4-FFF2-40B4-BE49-F238E27FC236}">
              <a16:creationId xmlns:a16="http://schemas.microsoft.com/office/drawing/2014/main" id="{87CD3A04-3D43-08E4-ABE5-D4643E8B81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434339</xdr:colOff>
      <xdr:row>5</xdr:row>
      <xdr:rowOff>29633</xdr:rowOff>
    </xdr:from>
    <xdr:to>
      <xdr:col>8</xdr:col>
      <xdr:colOff>567266</xdr:colOff>
      <xdr:row>17</xdr:row>
      <xdr:rowOff>113453</xdr:rowOff>
    </xdr:to>
    <xdr:graphicFrame macro="">
      <xdr:nvGraphicFramePr>
        <xdr:cNvPr id="2" name="Chart 1">
          <a:extLst>
            <a:ext uri="{FF2B5EF4-FFF2-40B4-BE49-F238E27FC236}">
              <a16:creationId xmlns:a16="http://schemas.microsoft.com/office/drawing/2014/main" id="{8E1D1022-7945-4B1E-99BE-A0455E286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419100</xdr:colOff>
      <xdr:row>17</xdr:row>
      <xdr:rowOff>152400</xdr:rowOff>
    </xdr:from>
    <xdr:to>
      <xdr:col>14</xdr:col>
      <xdr:colOff>594360</xdr:colOff>
      <xdr:row>30</xdr:row>
      <xdr:rowOff>7620</xdr:rowOff>
    </xdr:to>
    <xdr:graphicFrame macro="">
      <xdr:nvGraphicFramePr>
        <xdr:cNvPr id="5" name="Chart 4">
          <a:extLst>
            <a:ext uri="{FF2B5EF4-FFF2-40B4-BE49-F238E27FC236}">
              <a16:creationId xmlns:a16="http://schemas.microsoft.com/office/drawing/2014/main" id="{320921BA-81A3-482C-87FA-2CBF4BD02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601980</xdr:colOff>
      <xdr:row>5</xdr:row>
      <xdr:rowOff>29633</xdr:rowOff>
    </xdr:from>
    <xdr:to>
      <xdr:col>14</xdr:col>
      <xdr:colOff>586740</xdr:colOff>
      <xdr:row>17</xdr:row>
      <xdr:rowOff>101600</xdr:rowOff>
    </xdr:to>
    <xdr:graphicFrame macro="">
      <xdr:nvGraphicFramePr>
        <xdr:cNvPr id="6" name="Chart 5">
          <a:extLst>
            <a:ext uri="{FF2B5EF4-FFF2-40B4-BE49-F238E27FC236}">
              <a16:creationId xmlns:a16="http://schemas.microsoft.com/office/drawing/2014/main" id="{8D0C8140-2580-4713-AAE7-4D97DF1F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32173</xdr:colOff>
      <xdr:row>5</xdr:row>
      <xdr:rowOff>35561</xdr:rowOff>
    </xdr:from>
    <xdr:to>
      <xdr:col>2</xdr:col>
      <xdr:colOff>364066</xdr:colOff>
      <xdr:row>9</xdr:row>
      <xdr:rowOff>135467</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0DF0FE06-B397-26B9-1F5F-F41500DD491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2173" y="966894"/>
              <a:ext cx="1551093" cy="844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33866</xdr:colOff>
      <xdr:row>16</xdr:row>
      <xdr:rowOff>37253</xdr:rowOff>
    </xdr:from>
    <xdr:to>
      <xdr:col>2</xdr:col>
      <xdr:colOff>397933</xdr:colOff>
      <xdr:row>25</xdr:row>
      <xdr:rowOff>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B17C2F21-EB00-8F6E-9DD9-07709AAA1FE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3866" y="3017520"/>
              <a:ext cx="1583267" cy="1639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39794</xdr:colOff>
      <xdr:row>9</xdr:row>
      <xdr:rowOff>178646</xdr:rowOff>
    </xdr:from>
    <xdr:to>
      <xdr:col>2</xdr:col>
      <xdr:colOff>381000</xdr:colOff>
      <xdr:row>16</xdr:row>
      <xdr:rowOff>8466</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31AF1AF-8FBB-8E94-02DD-A8800610F8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794" y="1855046"/>
              <a:ext cx="1560406" cy="11336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Shekhar" refreshedDate="45985.918068287036" createdVersion="8" refreshedVersion="8" minRefreshableVersion="3" recordCount="1000" xr:uid="{F283C7A3-ED18-4186-9FD6-37F1298039B1}">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7719662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71CCD0-CC04-4A93-9131-EFDA35CF66B7}"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8:D63"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206A6A-A39E-403E-B2A5-7935D9BF91FE}"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2:D4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5350D1-E676-47B5-A065-9F15EB80678E}"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31"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EB5B72-803C-4D7B-8297-9B6DB8132395}"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1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3EAE7E5-1E99-4D49-8D7B-87A9A24D5BD9}" sourceName="Marital Status">
  <pivotTables>
    <pivotTable tabId="5" name="PivotTable2"/>
    <pivotTable tabId="5" name="PivotTable3"/>
    <pivotTable tabId="5" name="PivotTable4"/>
    <pivotTable tabId="5" name="PivotTable5"/>
  </pivotTables>
  <data>
    <tabular pivotCacheId="7719662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8749508-A604-472D-860B-40C3A9472781}" sourceName="Education">
  <pivotTables>
    <pivotTable tabId="5" name="PivotTable2"/>
    <pivotTable tabId="5" name="PivotTable3"/>
    <pivotTable tabId="5" name="PivotTable4"/>
    <pivotTable tabId="5" name="PivotTable5"/>
  </pivotTables>
  <data>
    <tabular pivotCacheId="77196622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216388-0C87-4EF3-8616-4E1720BEF0C8}" sourceName="Region">
  <pivotTables>
    <pivotTable tabId="5" name="PivotTable2"/>
    <pivotTable tabId="5" name="PivotTable3"/>
    <pivotTable tabId="5" name="PivotTable4"/>
    <pivotTable tabId="5" name="PivotTable5"/>
  </pivotTables>
  <data>
    <tabular pivotCacheId="77196622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BE13020-9B59-4E28-B3AA-609995CBBEC4}" cache="Slicer_Marital_Status" caption="Marital Status" rowHeight="234950"/>
  <slicer name="Education" xr10:uid="{E4F0C461-B8D0-48B8-A593-01CB00FFFADC}" cache="Slicer_Education" caption="Education" rowHeight="234950"/>
  <slicer name="Region" xr10:uid="{49762CB9-78AC-41A1-8EA2-30BDE54A16DD}"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16F2-B4E3-4ED0-B49C-878615D5FF3E}">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C46" zoomScale="110" zoomScaleNormal="110" workbookViewId="0">
      <selection activeCell="J23" sqref="J23"/>
    </sheetView>
  </sheetViews>
  <sheetFormatPr defaultColWidth="14.21875" defaultRowHeight="14.4" x14ac:dyDescent="0.3"/>
  <cols>
    <col min="1" max="1" width="18.5546875" customWidth="1"/>
    <col min="2" max="2" width="17" customWidth="1"/>
    <col min="4" max="4" width="14.21875" style="3"/>
    <col min="10" max="10" width="19" bestFit="1" customWidth="1"/>
    <col min="13" max="13" width="16.21875" customWidth="1"/>
    <col min="14" max="14" width="15.777343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 IF(L2&gt;=31,"Middle Age", IF(L2&lt;31,"Adolescent",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 IF(L3&gt;=31,"Middle Age", IF(L3&lt;31,"Adolescent",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49</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49</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49</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49</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49</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 IF(L67&gt;=31,"Middle Age", IF(L67&lt;31,"Adolescent",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49</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49</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49</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49</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 IF(L131&gt;=31,"Middle Age", IF(L131&lt;31,"Adolescent",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49</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49</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49</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49</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49</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49</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49</v>
      </c>
      <c r="K195" t="s">
        <v>24</v>
      </c>
      <c r="L195">
        <v>41</v>
      </c>
      <c r="M195" t="str">
        <f t="shared" ref="M195:M258" si="3">IF(L195&gt;54,"Old", IF(L195&gt;=31,"Middle Age", IF(L195&lt;31,"Adolescent",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49</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49</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49</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49</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49</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49</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49</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49</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49</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 IF(L259&gt;=31,"Middle Age", IF(L259&lt;31,"Adolescent", "Invalid")))</f>
        <v>Middle Age</v>
      </c>
      <c r="N259" t="s">
        <v>15</v>
      </c>
    </row>
    <row r="260" spans="1:14" x14ac:dyDescent="0.3">
      <c r="A260">
        <v>14193</v>
      </c>
      <c r="B260" t="s">
        <v>37</v>
      </c>
      <c r="C260" t="s">
        <v>38</v>
      </c>
      <c r="D260" s="3">
        <v>100000</v>
      </c>
      <c r="E260">
        <v>3</v>
      </c>
      <c r="F260" t="s">
        <v>19</v>
      </c>
      <c r="G260" t="s">
        <v>28</v>
      </c>
      <c r="H260" t="s">
        <v>15</v>
      </c>
      <c r="I260">
        <v>4</v>
      </c>
      <c r="J260" t="s">
        <v>49</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49</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49</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49</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49</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 IF(L323&gt;=31,"Middle Age", IF(L323&lt;31,"Adolescent",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49</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49</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49</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49</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49</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49</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49</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 IF(L387&gt;=31,"Middle Age", IF(L387&lt;31,"Adolescent", "Invalid")))</f>
        <v>Middle Age</v>
      </c>
      <c r="N387" t="s">
        <v>18</v>
      </c>
    </row>
    <row r="388" spans="1:14" x14ac:dyDescent="0.3">
      <c r="A388">
        <v>28957</v>
      </c>
      <c r="B388" t="s">
        <v>37</v>
      </c>
      <c r="C388" t="s">
        <v>38</v>
      </c>
      <c r="D388" s="3">
        <v>120000</v>
      </c>
      <c r="E388">
        <v>0</v>
      </c>
      <c r="F388" t="s">
        <v>29</v>
      </c>
      <c r="G388" t="s">
        <v>21</v>
      </c>
      <c r="H388" t="s">
        <v>15</v>
      </c>
      <c r="I388">
        <v>4</v>
      </c>
      <c r="J388" t="s">
        <v>49</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49</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49</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49</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49</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49</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 IF(L451&gt;=31,"Middle Age", IF(L451&lt;31,"Adolescent",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49</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49</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49</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49</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49</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49</v>
      </c>
      <c r="K515" t="s">
        <v>32</v>
      </c>
      <c r="L515">
        <v>61</v>
      </c>
      <c r="M515" t="str">
        <f t="shared" ref="M515:M578" si="8">IF(L515&gt;54,"Old", IF(L515&gt;=31,"Middle Age", IF(L515&lt;31,"Adolescent",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49</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49</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49</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49</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49</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49</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49</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49</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49</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49</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49</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 IF(L579&gt;=31,"Middle Age", IF(L579&lt;31,"Adolescent",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49</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49</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49</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49</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49</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49</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49</v>
      </c>
      <c r="K643" t="s">
        <v>32</v>
      </c>
      <c r="L643">
        <v>64</v>
      </c>
      <c r="M643" t="str">
        <f t="shared" ref="M643:M706" si="10">IF(L643&gt;54,"Old", IF(L643&gt;=31,"Middle Age", IF(L643&lt;31,"Adolescent",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49</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49</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49</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49</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49</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49</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49</v>
      </c>
      <c r="K707" t="s">
        <v>32</v>
      </c>
      <c r="L707">
        <v>59</v>
      </c>
      <c r="M707" t="str">
        <f t="shared" ref="M707:M770" si="11">IF(L707&gt;54,"Old", IF(L707&gt;=31,"Middle Age", IF(L707&lt;31,"Adolescent",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49</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49</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49</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49</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49</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49</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49</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49</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 IF(L771&gt;=31,"Middle Age", IF(L771&lt;31,"Adolescent",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49</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49</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49</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49</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 IF(L835&gt;=31,"Middle Age", IF(L835&lt;31,"Adolescent",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49</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49</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49</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49</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49</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 IF(L899&gt;=31,"Middle Age", IF(L899&lt;31,"Adolescent", "Invalid")))</f>
        <v>Adolescent</v>
      </c>
      <c r="N899" t="s">
        <v>18</v>
      </c>
    </row>
    <row r="900" spans="1:14" x14ac:dyDescent="0.3">
      <c r="A900">
        <v>18066</v>
      </c>
      <c r="B900" t="s">
        <v>37</v>
      </c>
      <c r="C900" t="s">
        <v>39</v>
      </c>
      <c r="D900" s="3">
        <v>70000</v>
      </c>
      <c r="E900">
        <v>5</v>
      </c>
      <c r="F900" t="s">
        <v>13</v>
      </c>
      <c r="G900" t="s">
        <v>28</v>
      </c>
      <c r="H900" t="s">
        <v>15</v>
      </c>
      <c r="I900">
        <v>3</v>
      </c>
      <c r="J900" t="s">
        <v>49</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49</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49</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49</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49</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49</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49</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49</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 IF(L963&gt;=31,"Middle Age", IF(L963&lt;31,"Adolescent", "Invalid")))</f>
        <v>Old</v>
      </c>
      <c r="N963" t="s">
        <v>18</v>
      </c>
    </row>
    <row r="964" spans="1:14" x14ac:dyDescent="0.3">
      <c r="A964">
        <v>16813</v>
      </c>
      <c r="B964" t="s">
        <v>36</v>
      </c>
      <c r="C964" t="s">
        <v>39</v>
      </c>
      <c r="D964" s="3">
        <v>60000</v>
      </c>
      <c r="E964">
        <v>2</v>
      </c>
      <c r="F964" t="s">
        <v>19</v>
      </c>
      <c r="G964" t="s">
        <v>21</v>
      </c>
      <c r="H964" t="s">
        <v>15</v>
      </c>
      <c r="I964">
        <v>2</v>
      </c>
      <c r="J964" t="s">
        <v>49</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49</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49</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49</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49</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49</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49</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49</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49</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E57DA-DAAD-446A-A8D1-E71FB1B56F88}">
  <dimension ref="A3:D63"/>
  <sheetViews>
    <sheetView topLeftCell="A21" workbookViewId="0">
      <selection activeCell="D58" sqref="D58"/>
    </sheetView>
  </sheetViews>
  <sheetFormatPr defaultRowHeight="14.4" x14ac:dyDescent="0.3"/>
  <cols>
    <col min="1" max="1" width="17" bestFit="1" customWidth="1"/>
    <col min="2" max="2" width="15.5546875" bestFit="1" customWidth="1"/>
    <col min="3" max="3" width="7.88671875" bestFit="1" customWidth="1"/>
    <col min="4" max="4" width="10.77734375" bestFit="1" customWidth="1"/>
  </cols>
  <sheetData>
    <row r="3" spans="1:4" x14ac:dyDescent="0.3">
      <c r="A3" s="5" t="s">
        <v>44</v>
      </c>
      <c r="B3" s="5" t="s">
        <v>43</v>
      </c>
    </row>
    <row r="4" spans="1:4" x14ac:dyDescent="0.3">
      <c r="A4" s="5" t="s">
        <v>41</v>
      </c>
      <c r="B4" t="s">
        <v>18</v>
      </c>
      <c r="C4" t="s">
        <v>15</v>
      </c>
      <c r="D4" t="s">
        <v>42</v>
      </c>
    </row>
    <row r="5" spans="1:4" x14ac:dyDescent="0.3">
      <c r="A5" s="6" t="s">
        <v>38</v>
      </c>
      <c r="B5" s="7">
        <v>53440</v>
      </c>
      <c r="C5" s="7">
        <v>55774.058577405856</v>
      </c>
      <c r="D5" s="7">
        <v>54580.777096114522</v>
      </c>
    </row>
    <row r="6" spans="1:4" x14ac:dyDescent="0.3">
      <c r="A6" s="6" t="s">
        <v>39</v>
      </c>
      <c r="B6" s="7">
        <v>56208.178438661707</v>
      </c>
      <c r="C6" s="7">
        <v>60123.966942148763</v>
      </c>
      <c r="D6" s="7">
        <v>58062.62230919765</v>
      </c>
    </row>
    <row r="7" spans="1:4" x14ac:dyDescent="0.3">
      <c r="A7" s="6" t="s">
        <v>42</v>
      </c>
      <c r="B7" s="7">
        <v>54874.759152215796</v>
      </c>
      <c r="C7" s="7">
        <v>57962.577962577961</v>
      </c>
      <c r="D7" s="7">
        <v>56360</v>
      </c>
    </row>
    <row r="24" spans="1:4" x14ac:dyDescent="0.3">
      <c r="A24" s="5" t="s">
        <v>48</v>
      </c>
      <c r="B24" s="5" t="s">
        <v>43</v>
      </c>
    </row>
    <row r="25" spans="1:4" x14ac:dyDescent="0.3">
      <c r="A25" s="5" t="s">
        <v>41</v>
      </c>
      <c r="B25" t="s">
        <v>18</v>
      </c>
      <c r="C25" t="s">
        <v>15</v>
      </c>
      <c r="D25" t="s">
        <v>42</v>
      </c>
    </row>
    <row r="26" spans="1:4" x14ac:dyDescent="0.3">
      <c r="A26" s="6" t="s">
        <v>16</v>
      </c>
      <c r="B26" s="4">
        <v>166</v>
      </c>
      <c r="C26" s="4">
        <v>200</v>
      </c>
      <c r="D26" s="4">
        <v>366</v>
      </c>
    </row>
    <row r="27" spans="1:4" x14ac:dyDescent="0.3">
      <c r="A27" s="6" t="s">
        <v>26</v>
      </c>
      <c r="B27" s="4">
        <v>92</v>
      </c>
      <c r="C27" s="4">
        <v>77</v>
      </c>
      <c r="D27" s="4">
        <v>169</v>
      </c>
    </row>
    <row r="28" spans="1:4" x14ac:dyDescent="0.3">
      <c r="A28" s="6" t="s">
        <v>22</v>
      </c>
      <c r="B28" s="4">
        <v>67</v>
      </c>
      <c r="C28" s="4">
        <v>95</v>
      </c>
      <c r="D28" s="4">
        <v>162</v>
      </c>
    </row>
    <row r="29" spans="1:4" x14ac:dyDescent="0.3">
      <c r="A29" s="6" t="s">
        <v>23</v>
      </c>
      <c r="B29" s="4">
        <v>116</v>
      </c>
      <c r="C29" s="4">
        <v>76</v>
      </c>
      <c r="D29" s="4">
        <v>192</v>
      </c>
    </row>
    <row r="30" spans="1:4" x14ac:dyDescent="0.3">
      <c r="A30" s="6" t="s">
        <v>49</v>
      </c>
      <c r="B30" s="4">
        <v>78</v>
      </c>
      <c r="C30" s="4">
        <v>33</v>
      </c>
      <c r="D30" s="4">
        <v>111</v>
      </c>
    </row>
    <row r="31" spans="1:4" x14ac:dyDescent="0.3">
      <c r="A31" s="6" t="s">
        <v>42</v>
      </c>
      <c r="B31" s="4">
        <v>519</v>
      </c>
      <c r="C31" s="4">
        <v>481</v>
      </c>
      <c r="D31" s="4">
        <v>1000</v>
      </c>
    </row>
    <row r="42" spans="1:4" x14ac:dyDescent="0.3">
      <c r="A42" s="5" t="s">
        <v>48</v>
      </c>
      <c r="B42" s="5" t="s">
        <v>43</v>
      </c>
    </row>
    <row r="43" spans="1:4" x14ac:dyDescent="0.3">
      <c r="A43" s="5" t="s">
        <v>41</v>
      </c>
      <c r="B43" t="s">
        <v>18</v>
      </c>
      <c r="C43" t="s">
        <v>15</v>
      </c>
      <c r="D43" t="s">
        <v>42</v>
      </c>
    </row>
    <row r="44" spans="1:4" x14ac:dyDescent="0.3">
      <c r="A44" s="6" t="s">
        <v>46</v>
      </c>
      <c r="B44" s="4">
        <v>71</v>
      </c>
      <c r="C44" s="4">
        <v>39</v>
      </c>
      <c r="D44" s="4">
        <v>110</v>
      </c>
    </row>
    <row r="45" spans="1:4" x14ac:dyDescent="0.3">
      <c r="A45" s="6" t="s">
        <v>45</v>
      </c>
      <c r="B45" s="4">
        <v>318</v>
      </c>
      <c r="C45" s="4">
        <v>383</v>
      </c>
      <c r="D45" s="4">
        <v>701</v>
      </c>
    </row>
    <row r="46" spans="1:4" x14ac:dyDescent="0.3">
      <c r="A46" s="6" t="s">
        <v>47</v>
      </c>
      <c r="B46" s="4">
        <v>130</v>
      </c>
      <c r="C46" s="4">
        <v>59</v>
      </c>
      <c r="D46" s="4">
        <v>189</v>
      </c>
    </row>
    <row r="47" spans="1:4" x14ac:dyDescent="0.3">
      <c r="A47" s="6" t="s">
        <v>42</v>
      </c>
      <c r="B47" s="4">
        <v>519</v>
      </c>
      <c r="C47" s="4">
        <v>481</v>
      </c>
      <c r="D47" s="4">
        <v>1000</v>
      </c>
    </row>
    <row r="58" spans="1:4" x14ac:dyDescent="0.3">
      <c r="A58" s="5" t="s">
        <v>48</v>
      </c>
      <c r="B58" s="5" t="s">
        <v>43</v>
      </c>
    </row>
    <row r="59" spans="1:4" x14ac:dyDescent="0.3">
      <c r="A59" s="5" t="s">
        <v>41</v>
      </c>
      <c r="B59" t="s">
        <v>18</v>
      </c>
      <c r="C59" t="s">
        <v>15</v>
      </c>
      <c r="D59" t="s">
        <v>42</v>
      </c>
    </row>
    <row r="60" spans="1:4" x14ac:dyDescent="0.3">
      <c r="A60" s="6" t="s">
        <v>46</v>
      </c>
      <c r="B60" s="4">
        <v>71</v>
      </c>
      <c r="C60" s="4">
        <v>39</v>
      </c>
      <c r="D60" s="4">
        <v>110</v>
      </c>
    </row>
    <row r="61" spans="1:4" x14ac:dyDescent="0.3">
      <c r="A61" s="6" t="s">
        <v>45</v>
      </c>
      <c r="B61" s="4">
        <v>318</v>
      </c>
      <c r="C61" s="4">
        <v>383</v>
      </c>
      <c r="D61" s="4">
        <v>701</v>
      </c>
    </row>
    <row r="62" spans="1:4" x14ac:dyDescent="0.3">
      <c r="A62" s="6" t="s">
        <v>47</v>
      </c>
      <c r="B62" s="4">
        <v>130</v>
      </c>
      <c r="C62" s="4">
        <v>59</v>
      </c>
      <c r="D62" s="4">
        <v>189</v>
      </c>
    </row>
    <row r="63" spans="1:4" x14ac:dyDescent="0.3">
      <c r="A63" s="6" t="s">
        <v>42</v>
      </c>
      <c r="B63" s="4">
        <v>519</v>
      </c>
      <c r="C63" s="4">
        <v>481</v>
      </c>
      <c r="D63" s="4">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82BA0-652A-4F0E-B609-3A2174C267C5}">
  <dimension ref="A1:O9"/>
  <sheetViews>
    <sheetView showGridLines="0" tabSelected="1" zoomScale="90" zoomScaleNormal="90" workbookViewId="0">
      <selection activeCell="V15" sqref="V15"/>
    </sheetView>
  </sheetViews>
  <sheetFormatPr defaultRowHeight="14.4" x14ac:dyDescent="0.3"/>
  <sheetData>
    <row r="1" spans="1:15" x14ac:dyDescent="0.3">
      <c r="A1" s="10"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7" spans="1:15" x14ac:dyDescent="0.3">
      <c r="C7" s="8"/>
    </row>
    <row r="9" spans="1:15" x14ac:dyDescent="0.3">
      <c r="D9"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Sakshi Shekhar</cp:lastModifiedBy>
  <dcterms:created xsi:type="dcterms:W3CDTF">2022-03-18T02:50:57Z</dcterms:created>
  <dcterms:modified xsi:type="dcterms:W3CDTF">2025-11-24T17:41:03Z</dcterms:modified>
</cp:coreProperties>
</file>